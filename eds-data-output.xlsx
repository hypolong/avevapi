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309" documentId="11_31802F1733C7A0836B02CE998F682C9D7A7B838F" xr6:coauthVersionLast="47" xr6:coauthVersionMax="47" xr10:uidLastSave="{3E8057F6-D2C3-49A7-8327-10D86301B223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7" i="2" l="1"/>
  <c r="I24" i="2"/>
  <c r="H26" i="2"/>
  <c r="H23" i="2"/>
  <c r="O13" i="3"/>
  <c r="O14" i="3"/>
  <c r="O15" i="3"/>
  <c r="O12" i="3"/>
  <c r="K15" i="3"/>
  <c r="K14" i="3"/>
  <c r="K13" i="3"/>
  <c r="K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　HAIBO</author>
  </authors>
  <commentList>
    <comment ref="I22" authorId="0" shapeId="0" xr:uid="{B76984EE-B3CA-4F56-A8D8-5D7C81DF0B53}">
      <text>
        <t xml:space="preserve">LONG　HAIBO:
後ろのTimestampの値を利用
</t>
      </text>
    </comment>
    <comment ref="H23" authorId="0" shapeId="0" xr:uid="{56037A2C-4AA7-464E-A5BD-F2176BBBC7BF}">
      <text>
        <t>LONG　HAIBO:
前のTimestampの値＋後のTimestampの値の平均値</t>
      </text>
    </comment>
    <comment ref="H28" authorId="0" shapeId="0" xr:uid="{53A654DF-E2E4-4AA0-8353-6FB64567E6F1}">
      <text>
        <t>LONG　HAIBO:
前のTimestampの値を利用</t>
      </text>
    </comment>
  </commentList>
</comments>
</file>

<file path=xl/sharedStrings.xml><?xml version="1.0" encoding="utf-8"?>
<sst xmlns="http://schemas.openxmlformats.org/spreadsheetml/2006/main" count="112" uniqueCount="45">
  <si>
    <t>tagA 3秒間隔のデータ TagB も3秒間隔のデータ</t>
  </si>
  <si>
    <t>tagA 0.5秒間隔のデータ TagB Nodata</t>
  </si>
  <si>
    <t>tagA 0.5秒間隔のデータ TagB も0.5秒間隔のデータ</t>
  </si>
  <si>
    <t>１分間取得</t>
  </si>
  <si>
    <t>数量60と設定</t>
  </si>
  <si>
    <t>数量120と設定</t>
  </si>
  <si>
    <t>120 &gt; 60のため、60動作しない</t>
  </si>
  <si>
    <t>TagA</t>
  </si>
  <si>
    <t>TagB</t>
  </si>
  <si>
    <t>結果は：</t>
  </si>
  <si>
    <t>40記録返す</t>
  </si>
  <si>
    <t>120記録ーーー開始終了時間に合わせたTagAのすべての記録に合わせる、Count 60は作用しない</t>
  </si>
  <si>
    <t>180記録ーーー開始終了時間に合わせる</t>
  </si>
  <si>
    <t>180 &gt; 120のため</t>
  </si>
  <si>
    <t>1秒2個</t>
  </si>
  <si>
    <t>1秒1個</t>
  </si>
  <si>
    <t>時間ずれあるので</t>
  </si>
  <si>
    <t>原因は：Timastamp完全に一致ではない</t>
  </si>
  <si>
    <t>TagBの方法はnull</t>
  </si>
  <si>
    <t>TagAもTagBもちゃんと記録</t>
  </si>
  <si>
    <t>interplotedのため</t>
  </si>
  <si>
    <t>1秒に3記録になる</t>
  </si>
  <si>
    <t>tagA 1秒間隔のデータ TagB も1秒間隔のデータ</t>
  </si>
  <si>
    <t>120記録返す、Value重複しているだけ</t>
  </si>
  <si>
    <t>120 &gt; 60のため</t>
  </si>
  <si>
    <t>60 動作しない</t>
  </si>
  <si>
    <t>Type of join: inner, outer, interpolated, merge left or merge right</t>
  </si>
  <si>
    <t>A</t>
  </si>
  <si>
    <t>B</t>
  </si>
  <si>
    <t>結果</t>
  </si>
  <si>
    <t>inner
Timestampが完全に一致する記録だけ残す</t>
  </si>
  <si>
    <t>Time</t>
  </si>
  <si>
    <t>Measurement</t>
  </si>
  <si>
    <t>Measurement　A</t>
  </si>
  <si>
    <t>Measurement　B</t>
  </si>
  <si>
    <t>2017-11-23T11:00:00Z</t>
  </si>
  <si>
    <t>2017-11-23T12:00:00Z</t>
  </si>
  <si>
    <t>2017-11-23T14:00:00Z</t>
  </si>
  <si>
    <t>2017-11-23T13:00:00Z</t>
  </si>
  <si>
    <t>2017-11-23T15:00:00Z</t>
  </si>
  <si>
    <t>2017-11-23T16:00:00Z</t>
  </si>
  <si>
    <t>2017-11-23T17:00:00Z</t>
  </si>
  <si>
    <t>outer
Timestampが不一致でも残す</t>
  </si>
  <si>
    <t>null</t>
  </si>
  <si>
    <t xml:space="preserve"> interpolated
outerをベースでnullをValueと設定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</si>
</sst>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sz val="11"/>
      <color rgb="FF000000"/>
      <name val="游ゴシック"/>
      <family val="2"/>
      <scheme val="minor"/>
    </font>
    <font>
      <sz val="12"/>
      <color rgb="FF000000"/>
      <name val="Roboto"/>
      <charset val="1"/>
    </font>
    <font>
      <sz val="12"/>
      <color rgb="FF000000"/>
      <name val="Consolas"/>
      <charset val="1"/>
    </font>
    <font>
      <b/>
      <sz val="12"/>
      <color rgb="FF000000"/>
      <name val="Consolas"/>
      <charset val="1"/>
    </font>
    <font>
      <b/>
      <sz val="11"/>
      <color theme="1"/>
      <name val="游ゴシック"/>
      <family val="2"/>
      <scheme val="minor"/>
    </font>
    <font>
      <sz val="9"/>
      <color rgb="FF098658"/>
      <name val="Consolas"/>
      <charset val="1"/>
    </font>
    <font>
      <b/>
      <sz val="9"/>
      <color rgb="FF098658"/>
      <name val="Consolas"/>
      <charset val="1"/>
    </font>
  </fonts>
  <fills count="8">
    <fill>
      <patternFill patternType="none"/>
    </fill>
    <fill>
      <patternFill patternType="gray125"/>
    </fill>
    <fill>
      <patternFill patternType="solid">
        <fgColor rgb="FFF3F4F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010101"/>
      </left>
      <right style="thin">
        <color rgb="FF010101"/>
      </right>
      <top style="thin">
        <color rgb="FF010101"/>
      </top>
      <bottom style="thin">
        <color rgb="FF0101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10101"/>
      </left>
      <right style="thin">
        <color rgb="FF010101"/>
      </right>
      <top/>
      <bottom style="thin">
        <color rgb="FF010101"/>
      </bottom>
      <diagonal/>
    </border>
    <border>
      <left/>
      <right style="thin">
        <color rgb="FF010101"/>
      </right>
      <top/>
      <bottom style="thin">
        <color rgb="FF010101"/>
      </bottom>
      <diagonal/>
    </border>
    <border>
      <left/>
      <right style="thin">
        <color rgb="FF010101"/>
      </right>
      <top style="thin">
        <color rgb="FF010101"/>
      </top>
      <bottom style="thin">
        <color rgb="FF010101"/>
      </bottom>
      <diagonal/>
    </border>
    <border>
      <left style="thin">
        <color rgb="FF010101"/>
      </left>
      <right/>
      <top style="thin">
        <color rgb="FF010101"/>
      </top>
      <bottom style="thin">
        <color rgb="FF010101"/>
      </bottom>
      <diagonal/>
    </border>
    <border>
      <left style="thin">
        <color rgb="FF010101"/>
      </left>
      <right style="thin">
        <color rgb="FF010101"/>
      </right>
      <top style="thin">
        <color rgb="FF010101"/>
      </top>
      <bottom/>
      <diagonal/>
    </border>
    <border>
      <left style="thin">
        <color rgb="FF010101"/>
      </left>
      <right/>
      <top/>
      <bottom style="thin">
        <color rgb="FF010101"/>
      </bottom>
      <diagonal/>
    </border>
    <border>
      <left style="thin">
        <color rgb="FF010101"/>
      </left>
      <right/>
      <top style="thin">
        <color rgb="FF01010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10101"/>
      </left>
      <right style="thin">
        <color rgb="FF01010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10101"/>
      </right>
      <top style="thin">
        <color rgb="FF01010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2" borderId="3" xfId="0" applyFont="1" applyFill="1" applyBorder="1" applyAlignment="1">
      <alignment wrapText="1"/>
    </xf>
    <xf numFmtId="0" fontId="0" fillId="0" borderId="2" xfId="0" applyBorder="1" applyAlignment="1">
      <alignment horizontal="left" vertical="top" wrapText="1"/>
    </xf>
    <xf numFmtId="0" fontId="5" fillId="2" borderId="4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0" fillId="0" borderId="2" xfId="0" applyBorder="1"/>
    <xf numFmtId="0" fontId="4" fillId="0" borderId="6" xfId="0" applyFont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5" fillId="2" borderId="8" xfId="0" applyFont="1" applyFill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0" fillId="0" borderId="10" xfId="0" applyBorder="1"/>
    <xf numFmtId="0" fontId="5" fillId="2" borderId="11" xfId="0" applyFont="1" applyFill="1" applyBorder="1" applyAlignment="1">
      <alignment wrapText="1"/>
    </xf>
    <xf numFmtId="0" fontId="0" fillId="4" borderId="2" xfId="0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 vertical="top" wrapText="1"/>
    </xf>
    <xf numFmtId="0" fontId="4" fillId="0" borderId="14" xfId="0" applyFont="1" applyBorder="1" applyAlignment="1">
      <alignment wrapText="1"/>
    </xf>
    <xf numFmtId="0" fontId="0" fillId="0" borderId="15" xfId="0" applyBorder="1" applyAlignment="1">
      <alignment horizontal="left" vertical="top" wrapText="1"/>
    </xf>
    <xf numFmtId="0" fontId="5" fillId="2" borderId="15" xfId="0" applyFont="1" applyFill="1" applyBorder="1" applyAlignment="1">
      <alignment wrapText="1"/>
    </xf>
    <xf numFmtId="0" fontId="0" fillId="6" borderId="2" xfId="0" applyFill="1" applyBorder="1" applyAlignment="1">
      <alignment horizontal="center" vertical="top" wrapText="1"/>
    </xf>
    <xf numFmtId="0" fontId="4" fillId="0" borderId="12" xfId="0" applyFont="1" applyBorder="1" applyAlignment="1">
      <alignment wrapText="1"/>
    </xf>
    <xf numFmtId="0" fontId="4" fillId="3" borderId="12" xfId="0" applyFont="1" applyFill="1" applyBorder="1" applyAlignment="1">
      <alignment wrapText="1"/>
    </xf>
    <xf numFmtId="0" fontId="5" fillId="2" borderId="17" xfId="0" applyFont="1" applyFill="1" applyBorder="1" applyAlignment="1">
      <alignment wrapText="1"/>
    </xf>
    <xf numFmtId="0" fontId="0" fillId="0" borderId="2" xfId="0" applyBorder="1" applyAlignment="1">
      <alignment horizontal="right"/>
    </xf>
    <xf numFmtId="0" fontId="4" fillId="0" borderId="13" xfId="0" applyFont="1" applyBorder="1" applyAlignment="1">
      <alignment wrapText="1"/>
    </xf>
    <xf numFmtId="0" fontId="0" fillId="0" borderId="10" xfId="0" applyBorder="1" applyAlignment="1">
      <alignment horizontal="right"/>
    </xf>
    <xf numFmtId="0" fontId="0" fillId="7" borderId="18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0" borderId="17" xfId="0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8</xdr:row>
      <xdr:rowOff>28575</xdr:rowOff>
    </xdr:from>
    <xdr:to>
      <xdr:col>11</xdr:col>
      <xdr:colOff>161925</xdr:colOff>
      <xdr:row>37</xdr:row>
      <xdr:rowOff>104775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95B6DD8-DF88-D17A-E775-DE6D35B2F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1485900"/>
          <a:ext cx="7210425" cy="50482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485775</xdr:colOff>
      <xdr:row>8</xdr:row>
      <xdr:rowOff>95250</xdr:rowOff>
    </xdr:from>
    <xdr:to>
      <xdr:col>22</xdr:col>
      <xdr:colOff>609600</xdr:colOff>
      <xdr:row>37</xdr:row>
      <xdr:rowOff>47625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CADB3DE-EADF-0E87-2004-09EDC1216E29}"/>
            </a:ext>
            <a:ext uri="{147F2762-F138-4A5C-976F-8EAC2B608ADB}">
              <a16:predDERef xmlns:a16="http://schemas.microsoft.com/office/drawing/2014/main" pred="{E95B6DD8-DF88-D17A-E775-DE6D35B2F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5375" y="1466850"/>
          <a:ext cx="6981825" cy="4924425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33</xdr:col>
      <xdr:colOff>523875</xdr:colOff>
      <xdr:row>38</xdr:row>
      <xdr:rowOff>38100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D0823CD-AFE1-9EF9-5B1E-F29A7EC7F15F}"/>
            </a:ext>
            <a:ext uri="{147F2762-F138-4A5C-976F-8EAC2B608ADB}">
              <a16:predDERef xmlns:a16="http://schemas.microsoft.com/office/drawing/2014/main" pred="{CCADB3DE-EADF-0E87-2004-09EDC121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0" y="1543050"/>
          <a:ext cx="6696075" cy="50101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48</xdr:row>
      <xdr:rowOff>152400</xdr:rowOff>
    </xdr:from>
    <xdr:to>
      <xdr:col>12</xdr:col>
      <xdr:colOff>342900</xdr:colOff>
      <xdr:row>77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39C00D3-A5AA-9D49-8883-CAD22C4FCDB4}"/>
            </a:ext>
            <a:ext uri="{147F2762-F138-4A5C-976F-8EAC2B608ADB}">
              <a16:predDERef xmlns:a16="http://schemas.microsoft.com/office/drawing/2014/main" pred="{FD0823CD-AFE1-9EF9-5B1E-F29A7EC7F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" y="8496300"/>
          <a:ext cx="7905750" cy="4933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20</xdr:row>
      <xdr:rowOff>180975</xdr:rowOff>
    </xdr:from>
    <xdr:to>
      <xdr:col>12</xdr:col>
      <xdr:colOff>723900</xdr:colOff>
      <xdr:row>23</xdr:row>
      <xdr:rowOff>123825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E650894-69CD-CDB8-09A4-0A1C363CF5C8}"/>
            </a:ext>
          </a:extLst>
        </xdr:cNvPr>
        <xdr:cNvSpPr/>
      </xdr:nvSpPr>
      <xdr:spPr>
        <a:xfrm>
          <a:off x="17564100" y="4676775"/>
          <a:ext cx="2657475" cy="647700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もしその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Tag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のデータはずっと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Null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の場合は、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Interploted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しても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Null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J48"/>
  <sheetViews>
    <sheetView tabSelected="1" workbookViewId="0">
      <selection activeCell="J7" sqref="J7"/>
    </sheetView>
  </sheetViews>
  <sheetFormatPr defaultRowHeight="13.5"/>
  <sheetData>
    <row r="3" spans="2:36">
      <c r="B3" t="s">
        <v>0</v>
      </c>
      <c r="N3" t="s">
        <v>1</v>
      </c>
      <c r="Y3" t="s">
        <v>2</v>
      </c>
    </row>
    <row r="4" spans="2:36">
      <c r="B4" t="s">
        <v>3</v>
      </c>
      <c r="N4" t="s">
        <v>3</v>
      </c>
      <c r="Y4" t="s">
        <v>3</v>
      </c>
    </row>
    <row r="5" spans="2:36">
      <c r="B5" t="s">
        <v>4</v>
      </c>
      <c r="N5" t="s">
        <v>4</v>
      </c>
      <c r="Y5" t="s">
        <v>5</v>
      </c>
    </row>
    <row r="6" spans="2:36" ht="15.75">
      <c r="R6" s="1" t="s">
        <v>6</v>
      </c>
      <c r="AG6" s="2" t="s">
        <v>7</v>
      </c>
      <c r="AH6" s="2" t="s">
        <v>8</v>
      </c>
      <c r="AI6" s="1"/>
      <c r="AJ6" s="1"/>
    </row>
    <row r="7" spans="2:36" ht="15.75">
      <c r="B7" t="s">
        <v>9</v>
      </c>
      <c r="C7" t="s">
        <v>10</v>
      </c>
      <c r="E7" s="1"/>
      <c r="N7" t="s">
        <v>9</v>
      </c>
      <c r="O7" t="s">
        <v>11</v>
      </c>
      <c r="Y7" t="s">
        <v>9</v>
      </c>
      <c r="Z7" t="s">
        <v>12</v>
      </c>
      <c r="AD7" s="1" t="s">
        <v>13</v>
      </c>
      <c r="AG7" s="2" t="s">
        <v>14</v>
      </c>
      <c r="AH7" s="2" t="s">
        <v>15</v>
      </c>
      <c r="AI7" s="1" t="s">
        <v>16</v>
      </c>
      <c r="AJ7" s="1"/>
    </row>
    <row r="8" spans="2:36" ht="15.75">
      <c r="D8" s="1" t="s">
        <v>17</v>
      </c>
      <c r="O8" t="s">
        <v>18</v>
      </c>
      <c r="Y8" t="s">
        <v>19</v>
      </c>
      <c r="AG8" s="1"/>
      <c r="AH8" s="1"/>
      <c r="AI8" s="1" t="s">
        <v>20</v>
      </c>
      <c r="AJ8" s="1"/>
    </row>
    <row r="9" spans="2:36">
      <c r="AI9" t="s">
        <v>21</v>
      </c>
    </row>
    <row r="43" spans="2:12">
      <c r="B43" t="s">
        <v>22</v>
      </c>
    </row>
    <row r="44" spans="2:12">
      <c r="B44" t="s">
        <v>3</v>
      </c>
    </row>
    <row r="45" spans="2:12">
      <c r="B45" t="s">
        <v>4</v>
      </c>
    </row>
    <row r="47" spans="2:12" ht="15.75">
      <c r="B47" t="s">
        <v>9</v>
      </c>
      <c r="C47" t="s">
        <v>23</v>
      </c>
      <c r="E47" s="1"/>
    </row>
    <row r="48" spans="2:12" ht="15.75">
      <c r="C48" s="1" t="s">
        <v>17</v>
      </c>
      <c r="J48" s="1" t="s">
        <v>24</v>
      </c>
      <c r="L48" s="1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E578-C5AA-4E0F-9C3D-ECF45977AE9E}">
  <dimension ref="B2:I28"/>
  <sheetViews>
    <sheetView workbookViewId="0">
      <selection activeCell="C29" sqref="C29"/>
    </sheetView>
  </sheetViews>
  <sheetFormatPr defaultRowHeight="15.75"/>
  <cols>
    <col min="2" max="2" width="29.5" customWidth="1"/>
    <col min="3" max="3" width="23.75" customWidth="1"/>
    <col min="4" max="4" width="41.875" customWidth="1"/>
    <col min="5" max="5" width="31.125" customWidth="1"/>
    <col min="6" max="6" width="23.375" customWidth="1"/>
    <col min="7" max="7" width="23.5" customWidth="1"/>
    <col min="8" max="8" width="27" customWidth="1"/>
    <col min="9" max="9" width="19.75" customWidth="1"/>
    <col min="13" max="13" width="71" customWidth="1"/>
  </cols>
  <sheetData>
    <row r="2" spans="2:9" ht="16.5">
      <c r="B2" s="3" t="s">
        <v>26</v>
      </c>
    </row>
    <row r="5" spans="2:9">
      <c r="C5" s="23" t="s">
        <v>27</v>
      </c>
      <c r="D5" s="23"/>
      <c r="E5" s="23" t="s">
        <v>28</v>
      </c>
      <c r="F5" s="23"/>
      <c r="G5" s="24" t="s">
        <v>29</v>
      </c>
      <c r="H5" s="24"/>
      <c r="I5" s="24"/>
    </row>
    <row r="6" spans="2:9" ht="21" customHeight="1">
      <c r="B6" s="8" t="s">
        <v>30</v>
      </c>
      <c r="C6" s="9" t="s">
        <v>31</v>
      </c>
      <c r="D6" s="7" t="s">
        <v>32</v>
      </c>
      <c r="E6" s="7" t="s">
        <v>31</v>
      </c>
      <c r="F6" s="7" t="s">
        <v>32</v>
      </c>
      <c r="G6" s="22" t="s">
        <v>31</v>
      </c>
      <c r="H6" s="22" t="s">
        <v>33</v>
      </c>
      <c r="I6" s="22" t="s">
        <v>34</v>
      </c>
    </row>
    <row r="7" spans="2:9" ht="24.75" customHeight="1">
      <c r="B7" s="8"/>
      <c r="C7" s="10" t="s">
        <v>35</v>
      </c>
      <c r="D7" s="4">
        <v>10</v>
      </c>
      <c r="E7" s="4" t="s">
        <v>36</v>
      </c>
      <c r="F7" s="15">
        <v>50</v>
      </c>
      <c r="G7" s="13" t="s">
        <v>37</v>
      </c>
      <c r="H7" s="13">
        <v>30</v>
      </c>
      <c r="I7" s="21">
        <v>50</v>
      </c>
    </row>
    <row r="8" spans="2:9" ht="24.75" customHeight="1">
      <c r="B8" s="8"/>
      <c r="C8" s="10" t="s">
        <v>38</v>
      </c>
      <c r="D8" s="4">
        <v>20</v>
      </c>
      <c r="E8" s="12" t="s">
        <v>37</v>
      </c>
      <c r="F8" s="16">
        <v>60</v>
      </c>
      <c r="G8" s="13"/>
      <c r="H8" s="25"/>
      <c r="I8" s="14"/>
    </row>
    <row r="9" spans="2:9" ht="24.75" customHeight="1">
      <c r="B9" s="8"/>
      <c r="C9" s="11" t="s">
        <v>37</v>
      </c>
      <c r="D9" s="12">
        <v>30</v>
      </c>
      <c r="E9" s="4" t="s">
        <v>39</v>
      </c>
      <c r="F9" s="15">
        <v>70</v>
      </c>
      <c r="G9" s="14"/>
      <c r="H9" s="25"/>
      <c r="I9" s="14"/>
    </row>
    <row r="10" spans="2:9" ht="24.75" customHeight="1">
      <c r="B10" s="27"/>
      <c r="C10" s="28" t="s">
        <v>40</v>
      </c>
      <c r="D10" s="19">
        <v>40</v>
      </c>
      <c r="E10" s="19" t="s">
        <v>41</v>
      </c>
      <c r="F10" s="20">
        <v>80</v>
      </c>
      <c r="G10" s="21"/>
      <c r="H10" s="26"/>
      <c r="I10" s="21"/>
    </row>
    <row r="11" spans="2:9" ht="11.25" customHeight="1">
      <c r="B11" s="31"/>
      <c r="C11" s="31"/>
      <c r="D11" s="31"/>
      <c r="E11" s="31"/>
      <c r="F11" s="31"/>
      <c r="G11" s="31"/>
      <c r="H11" s="31"/>
      <c r="I11" s="31"/>
    </row>
    <row r="12" spans="2:9" ht="17.25">
      <c r="B12" s="29" t="s">
        <v>42</v>
      </c>
      <c r="C12" s="9" t="s">
        <v>31</v>
      </c>
      <c r="D12" s="18" t="s">
        <v>32</v>
      </c>
      <c r="E12" s="30" t="s">
        <v>31</v>
      </c>
      <c r="F12" s="30" t="s">
        <v>32</v>
      </c>
      <c r="G12" s="34" t="s">
        <v>31</v>
      </c>
      <c r="H12" s="22" t="s">
        <v>33</v>
      </c>
      <c r="I12" s="22" t="s">
        <v>34</v>
      </c>
    </row>
    <row r="13" spans="2:9">
      <c r="B13" s="8"/>
      <c r="C13" s="10" t="s">
        <v>35</v>
      </c>
      <c r="D13" s="15">
        <v>10</v>
      </c>
      <c r="E13" s="13" t="s">
        <v>36</v>
      </c>
      <c r="F13" s="32">
        <v>50</v>
      </c>
      <c r="G13" s="32" t="s">
        <v>35</v>
      </c>
      <c r="H13" s="35">
        <v>10</v>
      </c>
      <c r="I13" s="35" t="s">
        <v>43</v>
      </c>
    </row>
    <row r="14" spans="2:9">
      <c r="B14" s="8"/>
      <c r="C14" s="10" t="s">
        <v>38</v>
      </c>
      <c r="D14" s="15">
        <v>20</v>
      </c>
      <c r="E14" s="17" t="s">
        <v>37</v>
      </c>
      <c r="F14" s="33">
        <v>60</v>
      </c>
      <c r="G14" s="32" t="s">
        <v>36</v>
      </c>
      <c r="H14" s="35" t="s">
        <v>43</v>
      </c>
      <c r="I14" s="35">
        <v>50</v>
      </c>
    </row>
    <row r="15" spans="2:9">
      <c r="B15" s="8"/>
      <c r="C15" s="11" t="s">
        <v>37</v>
      </c>
      <c r="D15" s="16">
        <v>30</v>
      </c>
      <c r="E15" s="13" t="s">
        <v>39</v>
      </c>
      <c r="F15" s="32">
        <v>70</v>
      </c>
      <c r="G15" s="32" t="s">
        <v>38</v>
      </c>
      <c r="H15" s="35">
        <v>20</v>
      </c>
      <c r="I15" s="35" t="s">
        <v>43</v>
      </c>
    </row>
    <row r="16" spans="2:9">
      <c r="B16" s="8"/>
      <c r="C16" s="10" t="s">
        <v>40</v>
      </c>
      <c r="D16" s="15">
        <v>40</v>
      </c>
      <c r="E16" s="13" t="s">
        <v>41</v>
      </c>
      <c r="F16" s="32">
        <v>80</v>
      </c>
      <c r="G16" s="33" t="s">
        <v>37</v>
      </c>
      <c r="H16" s="35">
        <v>30</v>
      </c>
      <c r="I16" s="35">
        <v>60</v>
      </c>
    </row>
    <row r="17" spans="2:9">
      <c r="G17" s="32" t="s">
        <v>39</v>
      </c>
      <c r="H17" s="35" t="s">
        <v>43</v>
      </c>
      <c r="I17" s="35">
        <v>70</v>
      </c>
    </row>
    <row r="18" spans="2:9">
      <c r="G18" s="32" t="s">
        <v>40</v>
      </c>
      <c r="H18" s="35">
        <v>40</v>
      </c>
      <c r="I18" s="35" t="s">
        <v>43</v>
      </c>
    </row>
    <row r="19" spans="2:9">
      <c r="G19" s="36" t="s">
        <v>41</v>
      </c>
      <c r="H19" s="37" t="s">
        <v>43</v>
      </c>
      <c r="I19" s="37">
        <v>80</v>
      </c>
    </row>
    <row r="20" spans="2:9">
      <c r="B20" s="40"/>
      <c r="C20" s="38"/>
      <c r="D20" s="38"/>
      <c r="E20" s="38"/>
      <c r="F20" s="38"/>
      <c r="G20" s="38"/>
      <c r="H20" s="38"/>
      <c r="I20" s="39"/>
    </row>
    <row r="21" spans="2:9" ht="24" customHeight="1">
      <c r="B21" s="27" t="s">
        <v>44</v>
      </c>
      <c r="C21" s="9" t="s">
        <v>31</v>
      </c>
      <c r="D21" s="18" t="s">
        <v>32</v>
      </c>
      <c r="E21" s="30" t="s">
        <v>31</v>
      </c>
      <c r="F21" s="30" t="s">
        <v>32</v>
      </c>
      <c r="G21" s="34" t="s">
        <v>31</v>
      </c>
      <c r="H21" s="22" t="s">
        <v>33</v>
      </c>
      <c r="I21" s="22" t="s">
        <v>34</v>
      </c>
    </row>
    <row r="22" spans="2:9">
      <c r="B22" s="41"/>
      <c r="C22" s="10" t="s">
        <v>35</v>
      </c>
      <c r="D22" s="15">
        <v>10</v>
      </c>
      <c r="E22" s="13" t="s">
        <v>36</v>
      </c>
      <c r="F22" s="32">
        <v>50</v>
      </c>
      <c r="G22" s="32" t="s">
        <v>35</v>
      </c>
      <c r="H22" s="35">
        <v>10</v>
      </c>
      <c r="I22" s="44">
        <v>50</v>
      </c>
    </row>
    <row r="23" spans="2:9">
      <c r="B23" s="41"/>
      <c r="C23" s="10" t="s">
        <v>38</v>
      </c>
      <c r="D23" s="15">
        <v>20</v>
      </c>
      <c r="E23" s="17" t="s">
        <v>37</v>
      </c>
      <c r="F23" s="33">
        <v>60</v>
      </c>
      <c r="G23" s="32" t="s">
        <v>36</v>
      </c>
      <c r="H23" s="35">
        <f>(H22+H24)/2</f>
        <v>15</v>
      </c>
      <c r="I23" s="35">
        <v>50</v>
      </c>
    </row>
    <row r="24" spans="2:9">
      <c r="B24" s="41"/>
      <c r="C24" s="11" t="s">
        <v>37</v>
      </c>
      <c r="D24" s="16">
        <v>30</v>
      </c>
      <c r="E24" s="13" t="s">
        <v>39</v>
      </c>
      <c r="F24" s="32">
        <v>70</v>
      </c>
      <c r="G24" s="32" t="s">
        <v>38</v>
      </c>
      <c r="H24" s="35">
        <v>20</v>
      </c>
      <c r="I24" s="35">
        <f>(I23+I25)/2</f>
        <v>55</v>
      </c>
    </row>
    <row r="25" spans="2:9">
      <c r="B25" s="29"/>
      <c r="C25" s="10" t="s">
        <v>40</v>
      </c>
      <c r="D25" s="15">
        <v>40</v>
      </c>
      <c r="E25" s="13" t="s">
        <v>41</v>
      </c>
      <c r="F25" s="32">
        <v>80</v>
      </c>
      <c r="G25" s="33" t="s">
        <v>37</v>
      </c>
      <c r="H25" s="35">
        <v>30</v>
      </c>
      <c r="I25" s="35">
        <v>60</v>
      </c>
    </row>
    <row r="26" spans="2:9">
      <c r="G26" s="32" t="s">
        <v>39</v>
      </c>
      <c r="H26" s="35">
        <f>(H25+H27)/2</f>
        <v>35</v>
      </c>
      <c r="I26" s="35">
        <v>70</v>
      </c>
    </row>
    <row r="27" spans="2:9">
      <c r="G27" s="32" t="s">
        <v>40</v>
      </c>
      <c r="H27" s="35">
        <v>40</v>
      </c>
      <c r="I27" s="37">
        <f>(I26+I28)/2</f>
        <v>75</v>
      </c>
    </row>
    <row r="28" spans="2:9">
      <c r="G28" s="36" t="s">
        <v>41</v>
      </c>
      <c r="H28" s="45">
        <v>40</v>
      </c>
      <c r="I28" s="35">
        <v>80</v>
      </c>
    </row>
  </sheetData>
  <mergeCells count="8">
    <mergeCell ref="B20:I20"/>
    <mergeCell ref="B21:B25"/>
    <mergeCell ref="C5:D5"/>
    <mergeCell ref="E5:F5"/>
    <mergeCell ref="B6:B10"/>
    <mergeCell ref="B12:B16"/>
    <mergeCell ref="G5:I5"/>
    <mergeCell ref="B11:I1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094C-F403-4A1D-B765-630EF19D7C5D}">
  <dimension ref="C2:O15"/>
  <sheetViews>
    <sheetView workbookViewId="0">
      <selection activeCell="L10" sqref="L10"/>
    </sheetView>
  </sheetViews>
  <sheetFormatPr defaultRowHeight="15.75"/>
  <cols>
    <col min="2" max="2" width="14.25" customWidth="1"/>
    <col min="13" max="13" width="9.5" bestFit="1" customWidth="1"/>
    <col min="14" max="14" width="9.625" bestFit="1" customWidth="1"/>
    <col min="18" max="18" width="14" customWidth="1"/>
  </cols>
  <sheetData>
    <row r="2" spans="3:15">
      <c r="C2" s="6" t="s">
        <v>27</v>
      </c>
      <c r="D2" s="6"/>
      <c r="F2" t="s">
        <v>28</v>
      </c>
      <c r="I2" s="6" t="s">
        <v>27</v>
      </c>
      <c r="J2" s="6"/>
      <c r="K2" s="6"/>
      <c r="L2" s="5"/>
      <c r="M2" s="6" t="s">
        <v>28</v>
      </c>
      <c r="N2" s="6"/>
      <c r="O2" s="6"/>
    </row>
    <row r="3" spans="3:15">
      <c r="C3" s="42">
        <v>301.09829999999999</v>
      </c>
      <c r="D3" s="42">
        <v>299.0752</v>
      </c>
      <c r="F3" s="42">
        <v>299.58730000000003</v>
      </c>
      <c r="G3" s="42"/>
      <c r="H3" s="42"/>
      <c r="I3" s="42">
        <v>301.09829999999999</v>
      </c>
      <c r="J3" s="42">
        <v>299.0752</v>
      </c>
      <c r="K3" s="42">
        <v>299.86369999999999</v>
      </c>
      <c r="L3" s="42"/>
      <c r="M3" s="42">
        <v>299.58730000000003</v>
      </c>
      <c r="N3" s="42">
        <v>299.58730000000003</v>
      </c>
      <c r="O3" s="43">
        <v>299.58730000000003</v>
      </c>
    </row>
    <row r="4" spans="3:15">
      <c r="C4" s="42">
        <v>300.64490000000001</v>
      </c>
      <c r="D4" s="42">
        <v>300.9194</v>
      </c>
      <c r="F4" s="42">
        <v>301.23309999999998</v>
      </c>
      <c r="G4" s="42"/>
      <c r="H4" s="42"/>
      <c r="I4" s="42">
        <v>300.64490000000001</v>
      </c>
      <c r="J4" s="42">
        <v>300.9194</v>
      </c>
      <c r="K4" s="42">
        <v>300.02838000000003</v>
      </c>
      <c r="L4" s="42"/>
      <c r="M4" s="42">
        <v>300.31473</v>
      </c>
      <c r="N4" s="42">
        <v>300.50011999999998</v>
      </c>
      <c r="O4" s="43">
        <v>301.23309999999998</v>
      </c>
    </row>
    <row r="5" spans="3:15">
      <c r="C5" s="42">
        <v>299.14999999999998</v>
      </c>
      <c r="D5" s="42">
        <v>298.32310000000001</v>
      </c>
      <c r="F5" s="42">
        <v>299.82119999999998</v>
      </c>
      <c r="G5" s="42"/>
      <c r="H5" s="42"/>
      <c r="I5" s="42">
        <v>299.14999999999998</v>
      </c>
      <c r="J5" s="42">
        <v>298.32310000000001</v>
      </c>
      <c r="K5" s="42">
        <v>298.1968</v>
      </c>
      <c r="L5" s="42"/>
      <c r="M5" s="42">
        <v>300.60955999999999</v>
      </c>
      <c r="N5" s="42">
        <v>300.45416</v>
      </c>
      <c r="O5" s="43">
        <v>298.1968</v>
      </c>
    </row>
    <row r="6" spans="3:15">
      <c r="C6" s="42">
        <v>298.03930000000003</v>
      </c>
      <c r="D6" s="42">
        <v>298.3288</v>
      </c>
      <c r="F6" s="42">
        <v>299.25799999999998</v>
      </c>
      <c r="G6" s="42"/>
      <c r="H6" s="42"/>
      <c r="I6" s="42">
        <v>298.03930000000003</v>
      </c>
      <c r="J6" s="42">
        <v>298.3288</v>
      </c>
      <c r="K6" s="42">
        <v>298.87761999999998</v>
      </c>
      <c r="L6" s="42"/>
      <c r="M6" s="42">
        <v>299.50812000000002</v>
      </c>
      <c r="N6" s="42">
        <v>299.44540000000001</v>
      </c>
      <c r="O6" s="43">
        <v>299.25799999999998</v>
      </c>
    </row>
    <row r="7" spans="3:15">
      <c r="I7" s="42">
        <v>299.79419999999999</v>
      </c>
      <c r="M7" s="42">
        <v>299.4554</v>
      </c>
    </row>
    <row r="12" spans="3:15">
      <c r="K12">
        <f>(I4+J3)/2</f>
        <v>299.86005</v>
      </c>
      <c r="O12">
        <f>(N3+M4)/2</f>
        <v>299.95101499999998</v>
      </c>
    </row>
    <row r="13" spans="3:15">
      <c r="K13">
        <f>(J4+I5)/2</f>
        <v>300.03469999999999</v>
      </c>
      <c r="O13">
        <f t="shared" ref="O13:O15" si="0">(N4+M5)/2</f>
        <v>300.55484000000001</v>
      </c>
    </row>
    <row r="14" spans="3:15">
      <c r="K14">
        <f>(J5+I6)/2</f>
        <v>298.18119999999999</v>
      </c>
      <c r="O14">
        <f t="shared" si="0"/>
        <v>299.98113999999998</v>
      </c>
    </row>
    <row r="15" spans="3:15">
      <c r="K15">
        <f>(J6+I7)/2</f>
        <v>299.06150000000002</v>
      </c>
      <c r="O15">
        <f t="shared" si="0"/>
        <v>299.4504</v>
      </c>
    </row>
  </sheetData>
  <mergeCells count="3">
    <mergeCell ref="M2:O2"/>
    <mergeCell ref="I2:K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LONG　HAIBO</cp:lastModifiedBy>
  <cp:revision/>
  <dcterms:created xsi:type="dcterms:W3CDTF">2026-10-20T01:01:45Z</dcterms:created>
  <dcterms:modified xsi:type="dcterms:W3CDTF">2026-10-20T03:30:03Z</dcterms:modified>
  <cp:category/>
  <cp:contentStatus/>
</cp:coreProperties>
</file>